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mma\Documents\teaching\Econ372_F16\problem_sets\"/>
    </mc:Choice>
  </mc:AlternateContent>
  <bookViews>
    <workbookView xWindow="360" yWindow="12" windowWidth="11340" windowHeight="6540"/>
  </bookViews>
  <sheets>
    <sheet name="Q1_S" sheetId="2" r:id="rId1"/>
  </sheets>
  <definedNames>
    <definedName name="here">Q1_S!$K$11</definedName>
    <definedName name="rtn">Q1_S!$B$52</definedName>
    <definedName name="rtn_goal">Q1_S!$B$54</definedName>
    <definedName name="solver_adj" localSheetId="0" hidden="1">Q1_S!$A$41:$A$47</definedName>
    <definedName name="solver_cvg" localSheetId="0" hidden="1">0.001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hs1" localSheetId="0" hidden="1">Q1_S!$A$41:$A$47</definedName>
    <definedName name="solver_lhs2" localSheetId="0" hidden="1">Q1_S!$A$48</definedName>
    <definedName name="solver_lhs3" localSheetId="0" hidden="1">Q1_S!$B$52</definedName>
    <definedName name="solver_lhs4" localSheetId="0" hidden="1">Q1_S!$B$52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Q1_S!$B$51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hs1" localSheetId="0" hidden="1">0</definedName>
    <definedName name="solver_rhs2" localSheetId="0" hidden="1">1</definedName>
    <definedName name="solver_rhs3" localSheetId="0" hidden="1">rtn_goal</definedName>
    <definedName name="solver_rhs4" localSheetId="0" hidden="1">Q1_S!$J$13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  <definedName name="stdev">Q1_S!$B$51</definedName>
  </definedNames>
  <calcPr calcId="152511"/>
</workbook>
</file>

<file path=xl/calcChain.xml><?xml version="1.0" encoding="utf-8"?>
<calcChain xmlns="http://schemas.openxmlformats.org/spreadsheetml/2006/main">
  <c r="M15" i="2" l="1"/>
  <c r="M13" i="2"/>
  <c r="M14" i="2"/>
  <c r="M16" i="2"/>
  <c r="M17" i="2"/>
  <c r="M18" i="2"/>
  <c r="M19" i="2"/>
  <c r="M20" i="2"/>
  <c r="M21" i="2"/>
  <c r="M22" i="2"/>
  <c r="M23" i="2"/>
  <c r="M24" i="2"/>
  <c r="M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A23" i="2"/>
  <c r="H16" i="2"/>
  <c r="A35" i="2"/>
  <c r="A34" i="2"/>
  <c r="A33" i="2"/>
  <c r="A32" i="2"/>
  <c r="A31" i="2"/>
  <c r="A30" i="2"/>
  <c r="A29" i="2"/>
  <c r="A22" i="2"/>
  <c r="G16" i="2"/>
  <c r="G39" i="2"/>
  <c r="A21" i="2"/>
  <c r="F16" i="2"/>
  <c r="A20" i="2"/>
  <c r="E16" i="2"/>
  <c r="A19" i="2"/>
  <c r="D16" i="2"/>
  <c r="A18" i="2"/>
  <c r="C16" i="2"/>
  <c r="A17" i="2"/>
  <c r="B16" i="2"/>
  <c r="B52" i="2"/>
  <c r="B40" i="2"/>
  <c r="B41" i="2" s="1"/>
  <c r="B30" i="2"/>
  <c r="B31" i="2"/>
  <c r="B32" i="2"/>
  <c r="B33" i="2"/>
  <c r="B34" i="2"/>
  <c r="B35" i="2"/>
  <c r="C40" i="2"/>
  <c r="C45" i="2" s="1"/>
  <c r="C29" i="2"/>
  <c r="C30" i="2"/>
  <c r="C31" i="2"/>
  <c r="C32" i="2"/>
  <c r="C33" i="2"/>
  <c r="C34" i="2"/>
  <c r="C35" i="2"/>
  <c r="D40" i="2"/>
  <c r="D41" i="2" s="1"/>
  <c r="D29" i="2"/>
  <c r="D30" i="2"/>
  <c r="D31" i="2"/>
  <c r="D32" i="2"/>
  <c r="D33" i="2"/>
  <c r="D34" i="2"/>
  <c r="D35" i="2"/>
  <c r="E40" i="2"/>
  <c r="E41" i="2" s="1"/>
  <c r="E29" i="2"/>
  <c r="E30" i="2"/>
  <c r="E31" i="2"/>
  <c r="E32" i="2"/>
  <c r="E33" i="2"/>
  <c r="E34" i="2"/>
  <c r="E35" i="2"/>
  <c r="F40" i="2"/>
  <c r="F44" i="2" s="1"/>
  <c r="F29" i="2"/>
  <c r="F30" i="2"/>
  <c r="F31" i="2"/>
  <c r="F32" i="2"/>
  <c r="F33" i="2"/>
  <c r="F34" i="2"/>
  <c r="F35" i="2"/>
  <c r="G40" i="2"/>
  <c r="G41" i="2" s="1"/>
  <c r="G29" i="2"/>
  <c r="G30" i="2"/>
  <c r="G31" i="2"/>
  <c r="G32" i="2"/>
  <c r="G33" i="2"/>
  <c r="G34" i="2"/>
  <c r="G35" i="2"/>
  <c r="H40" i="2"/>
  <c r="H43" i="2" s="1"/>
  <c r="H29" i="2"/>
  <c r="H30" i="2"/>
  <c r="H31" i="2"/>
  <c r="H32" i="2"/>
  <c r="H33" i="2"/>
  <c r="H34" i="2"/>
  <c r="H35" i="2"/>
  <c r="A48" i="2"/>
  <c r="B29" i="2"/>
  <c r="F28" i="2"/>
  <c r="F39" i="2"/>
  <c r="E28" i="2"/>
  <c r="E39" i="2"/>
  <c r="B28" i="2"/>
  <c r="B39" i="2"/>
  <c r="C39" i="2"/>
  <c r="C28" i="2"/>
  <c r="G28" i="2"/>
  <c r="D28" i="2"/>
  <c r="D39" i="2"/>
  <c r="H39" i="2"/>
  <c r="H28" i="2"/>
  <c r="E42" i="2" l="1"/>
  <c r="C43" i="2"/>
  <c r="C41" i="2"/>
  <c r="B47" i="2"/>
  <c r="C44" i="2"/>
  <c r="H44" i="2"/>
  <c r="G47" i="2"/>
  <c r="G45" i="2"/>
  <c r="G46" i="2"/>
  <c r="G43" i="2"/>
  <c r="F47" i="2"/>
  <c r="G44" i="2"/>
  <c r="G42" i="2"/>
  <c r="E47" i="2"/>
  <c r="F46" i="2"/>
  <c r="E46" i="2"/>
  <c r="E44" i="2"/>
  <c r="C42" i="2"/>
  <c r="C47" i="2"/>
  <c r="C46" i="2"/>
  <c r="D47" i="2"/>
  <c r="B45" i="2"/>
  <c r="B44" i="2"/>
  <c r="B42" i="2"/>
  <c r="B43" i="2"/>
  <c r="B46" i="2"/>
  <c r="E43" i="2"/>
  <c r="H42" i="2"/>
  <c r="H46" i="2"/>
  <c r="D42" i="2"/>
  <c r="D44" i="2"/>
  <c r="D45" i="2"/>
  <c r="E45" i="2"/>
  <c r="F45" i="2"/>
  <c r="F42" i="2"/>
  <c r="H41" i="2"/>
  <c r="F43" i="2"/>
  <c r="H45" i="2"/>
  <c r="D46" i="2"/>
  <c r="D43" i="2"/>
  <c r="F41" i="2"/>
  <c r="H47" i="2"/>
  <c r="C48" i="2" l="1"/>
  <c r="G48" i="2"/>
  <c r="E48" i="2"/>
  <c r="B48" i="2"/>
  <c r="D48" i="2"/>
  <c r="H48" i="2"/>
  <c r="F48" i="2"/>
  <c r="B50" i="2" l="1"/>
  <c r="B51" i="2" s="1"/>
</calcChain>
</file>

<file path=xl/sharedStrings.xml><?xml version="1.0" encoding="utf-8"?>
<sst xmlns="http://schemas.openxmlformats.org/spreadsheetml/2006/main" count="40" uniqueCount="33">
  <si>
    <t>weights</t>
  </si>
  <si>
    <t>Portfolio Variance</t>
  </si>
  <si>
    <t>Portfolio std (vol)</t>
  </si>
  <si>
    <t>Mean</t>
  </si>
  <si>
    <t>ANNUALIZED STANDARD DEVIATION, AVERAGE RETURN AND CORRELATION COEFFICIENTS</t>
  </si>
  <si>
    <t>Standard</t>
  </si>
  <si>
    <t>Deviation</t>
  </si>
  <si>
    <t>Average</t>
  </si>
  <si>
    <t>Return</t>
  </si>
  <si>
    <t>Correlation Matrix</t>
  </si>
  <si>
    <t>Portfolio return</t>
  </si>
  <si>
    <t>Unrestricted</t>
  </si>
  <si>
    <t>Restricted</t>
  </si>
  <si>
    <t>(no short</t>
  </si>
  <si>
    <t>sales)</t>
  </si>
  <si>
    <t>(%)</t>
  </si>
  <si>
    <t>Covariance Matrix  cov(i,j) = correl(i,j)*std(i)*std(j)</t>
  </si>
  <si>
    <t xml:space="preserve">               Weighted Portfolio Covariance Matrix</t>
  </si>
  <si>
    <t>Part (a)</t>
  </si>
  <si>
    <t>Part (b)</t>
  </si>
  <si>
    <t>Intl Equity</t>
  </si>
  <si>
    <t>Commodities</t>
  </si>
  <si>
    <t>Inflation-sensitive</t>
  </si>
  <si>
    <t>Real Estate</t>
  </si>
  <si>
    <t>Annualized statistics are based on monthly</t>
  </si>
  <si>
    <t>Sharpe Ratio</t>
  </si>
  <si>
    <t>(restricted)</t>
  </si>
  <si>
    <t>Return Goal</t>
  </si>
  <si>
    <t>= slope</t>
  </si>
  <si>
    <t>1-3yr UST</t>
  </si>
  <si>
    <t>7-10yr UST</t>
  </si>
  <si>
    <t>Inv Grade credit</t>
  </si>
  <si>
    <t>data from 2009 - 2015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</si>
</sst>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"/>
    <numFmt numFmtId="166" formatCode="0.0%"/>
  </numFmts>
  <fonts count="13" x14ac:knownFonts="1">
    <font>
      <sz val="10"/>
      <name val="Arial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i/>
      <sz val="9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89">
    <xf numFmtId="0" fontId="0" fillId="0" borderId="0" xfId="0"/>
    <xf numFmtId="0" fontId="3" fillId="0" borderId="0" xfId="0" applyFont="1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1" xfId="0" applyFont="1" applyBorder="1" applyAlignment="1">
      <alignment horizontal="right"/>
    </xf>
    <xf numFmtId="0" fontId="2" fillId="0" borderId="3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2" fillId="0" borderId="1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0" xfId="0" applyFont="1"/>
    <xf numFmtId="0" fontId="2" fillId="0" borderId="2" xfId="0" applyFont="1" applyBorder="1"/>
    <xf numFmtId="0" fontId="3" fillId="0" borderId="1" xfId="0" applyFont="1" applyBorder="1"/>
    <xf numFmtId="164" fontId="2" fillId="0" borderId="8" xfId="0" applyNumberFormat="1" applyFont="1" applyFill="1" applyBorder="1"/>
    <xf numFmtId="164" fontId="2" fillId="0" borderId="6" xfId="0" applyNumberFormat="1" applyFont="1" applyFill="1" applyBorder="1"/>
    <xf numFmtId="0" fontId="0" fillId="0" borderId="3" xfId="0" applyBorder="1" applyAlignment="1">
      <alignment horizontal="right"/>
    </xf>
    <xf numFmtId="0" fontId="0" fillId="0" borderId="0" xfId="0" applyBorder="1"/>
    <xf numFmtId="0" fontId="0" fillId="0" borderId="7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6" xfId="0" applyBorder="1" applyAlignment="1">
      <alignment horizontal="right"/>
    </xf>
    <xf numFmtId="0" fontId="3" fillId="0" borderId="9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0" fillId="0" borderId="8" xfId="0" applyBorder="1"/>
    <xf numFmtId="164" fontId="3" fillId="0" borderId="11" xfId="0" applyNumberFormat="1" applyFont="1" applyBorder="1"/>
    <xf numFmtId="164" fontId="5" fillId="0" borderId="4" xfId="0" applyNumberFormat="1" applyFont="1" applyBorder="1"/>
    <xf numFmtId="2" fontId="0" fillId="2" borderId="2" xfId="0" applyNumberFormat="1" applyFill="1" applyBorder="1"/>
    <xf numFmtId="2" fontId="0" fillId="2" borderId="3" xfId="0" applyNumberFormat="1" applyFill="1" applyBorder="1" applyAlignment="1">
      <alignment horizontal="right"/>
    </xf>
    <xf numFmtId="2" fontId="0" fillId="0" borderId="0" xfId="0" applyNumberFormat="1"/>
    <xf numFmtId="0" fontId="2" fillId="0" borderId="0" xfId="0" applyFont="1" applyBorder="1"/>
    <xf numFmtId="0" fontId="8" fillId="0" borderId="5" xfId="0" applyFont="1" applyBorder="1" applyAlignment="1">
      <alignment horizontal="right" wrapText="1"/>
    </xf>
    <xf numFmtId="0" fontId="8" fillId="0" borderId="8" xfId="0" applyFont="1" applyBorder="1" applyAlignment="1">
      <alignment horizontal="right" wrapText="1"/>
    </xf>
    <xf numFmtId="0" fontId="8" fillId="0" borderId="6" xfId="0" applyFont="1" applyBorder="1" applyAlignment="1">
      <alignment horizontal="right" wrapText="1"/>
    </xf>
    <xf numFmtId="0" fontId="2" fillId="0" borderId="9" xfId="0" applyFont="1" applyBorder="1" applyAlignment="1">
      <alignment horizontal="right" wrapText="1"/>
    </xf>
    <xf numFmtId="0" fontId="2" fillId="0" borderId="12" xfId="0" applyFont="1" applyBorder="1" applyAlignment="1">
      <alignment horizontal="right" wrapText="1"/>
    </xf>
    <xf numFmtId="0" fontId="2" fillId="0" borderId="10" xfId="0" applyFont="1" applyBorder="1" applyAlignment="1">
      <alignment horizontal="right" wrapText="1"/>
    </xf>
    <xf numFmtId="0" fontId="2" fillId="0" borderId="9" xfId="0" applyFont="1" applyBorder="1"/>
    <xf numFmtId="0" fontId="2" fillId="0" borderId="12" xfId="0" applyFont="1" applyBorder="1"/>
    <xf numFmtId="0" fontId="2" fillId="0" borderId="10" xfId="0" applyFont="1" applyBorder="1"/>
    <xf numFmtId="0" fontId="2" fillId="0" borderId="2" xfId="0" applyFont="1" applyFill="1" applyBorder="1" applyAlignment="1">
      <alignment wrapText="1"/>
    </xf>
    <xf numFmtId="164" fontId="0" fillId="0" borderId="0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6" xfId="0" applyNumberFormat="1" applyBorder="1"/>
    <xf numFmtId="165" fontId="0" fillId="0" borderId="4" xfId="0" applyNumberFormat="1" applyBorder="1"/>
    <xf numFmtId="165" fontId="0" fillId="0" borderId="0" xfId="0" applyNumberFormat="1" applyBorder="1"/>
    <xf numFmtId="165" fontId="0" fillId="0" borderId="7" xfId="0" applyNumberFormat="1" applyBorder="1"/>
    <xf numFmtId="165" fontId="0" fillId="0" borderId="5" xfId="0" applyNumberFormat="1" applyBorder="1"/>
    <xf numFmtId="165" fontId="0" fillId="0" borderId="8" xfId="0" applyNumberFormat="1" applyBorder="1"/>
    <xf numFmtId="165" fontId="0" fillId="0" borderId="6" xfId="0" applyNumberFormat="1" applyBorder="1"/>
    <xf numFmtId="164" fontId="0" fillId="0" borderId="11" xfId="0" applyNumberFormat="1" applyBorder="1"/>
    <xf numFmtId="2" fontId="2" fillId="0" borderId="0" xfId="0" applyNumberFormat="1" applyFont="1"/>
    <xf numFmtId="2" fontId="7" fillId="0" borderId="0" xfId="0" applyNumberFormat="1" applyFont="1"/>
    <xf numFmtId="0" fontId="11" fillId="0" borderId="0" xfId="0" applyFont="1"/>
    <xf numFmtId="2" fontId="10" fillId="0" borderId="0" xfId="0" applyNumberFormat="1" applyFont="1"/>
    <xf numFmtId="0" fontId="1" fillId="0" borderId="0" xfId="0" quotePrefix="1" applyFont="1"/>
    <xf numFmtId="9" fontId="7" fillId="0" borderId="3" xfId="1" applyFont="1" applyBorder="1"/>
    <xf numFmtId="9" fontId="7" fillId="0" borderId="7" xfId="1" applyFont="1" applyBorder="1"/>
    <xf numFmtId="9" fontId="7" fillId="0" borderId="6" xfId="1" applyFont="1" applyBorder="1"/>
    <xf numFmtId="10" fontId="7" fillId="0" borderId="3" xfId="1" applyNumberFormat="1" applyFont="1" applyBorder="1"/>
    <xf numFmtId="10" fontId="7" fillId="0" borderId="7" xfId="1" applyNumberFormat="1" applyFont="1" applyBorder="1"/>
    <xf numFmtId="10" fontId="7" fillId="0" borderId="6" xfId="1" applyNumberFormat="1" applyFont="1" applyBorder="1"/>
    <xf numFmtId="10" fontId="7" fillId="0" borderId="13" xfId="1" applyNumberFormat="1" applyFont="1" applyBorder="1"/>
    <xf numFmtId="10" fontId="7" fillId="0" borderId="14" xfId="1" applyNumberFormat="1" applyFont="1" applyBorder="1"/>
    <xf numFmtId="10" fontId="7" fillId="0" borderId="15" xfId="1" applyNumberFormat="1" applyFont="1" applyBorder="1"/>
    <xf numFmtId="9" fontId="7" fillId="0" borderId="4" xfId="1" applyFont="1" applyBorder="1"/>
    <xf numFmtId="9" fontId="7" fillId="0" borderId="2" xfId="1" applyFont="1" applyBorder="1"/>
    <xf numFmtId="9" fontId="7" fillId="0" borderId="0" xfId="1" applyFont="1" applyBorder="1"/>
    <xf numFmtId="9" fontId="7" fillId="0" borderId="5" xfId="1" applyFont="1" applyBorder="1"/>
    <xf numFmtId="9" fontId="7" fillId="0" borderId="8" xfId="1" applyFont="1" applyBorder="1"/>
    <xf numFmtId="166" fontId="0" fillId="0" borderId="4" xfId="1" applyNumberFormat="1" applyFont="1" applyBorder="1"/>
    <xf numFmtId="9" fontId="7" fillId="0" borderId="1" xfId="1" applyFont="1" applyBorder="1"/>
    <xf numFmtId="9" fontId="3" fillId="0" borderId="3" xfId="1" applyFont="1" applyBorder="1"/>
    <xf numFmtId="10" fontId="0" fillId="0" borderId="7" xfId="1" applyNumberFormat="1" applyFont="1" applyBorder="1"/>
    <xf numFmtId="10" fontId="3" fillId="0" borderId="6" xfId="1" applyNumberFormat="1" applyFont="1" applyBorder="1"/>
    <xf numFmtId="10" fontId="9" fillId="0" borderId="0" xfId="1" applyNumberFormat="1" applyFont="1"/>
    <xf numFmtId="10" fontId="0" fillId="2" borderId="0" xfId="1" applyNumberFormat="1" applyFont="1" applyFill="1" applyBorder="1"/>
    <xf numFmtId="10" fontId="4" fillId="2" borderId="0" xfId="1" applyNumberFormat="1" applyFont="1" applyFill="1" applyBorder="1"/>
    <xf numFmtId="10" fontId="0" fillId="2" borderId="8" xfId="1" applyNumberFormat="1" applyFont="1" applyFill="1" applyBorder="1"/>
    <xf numFmtId="10" fontId="0" fillId="2" borderId="7" xfId="1" applyNumberFormat="1" applyFont="1" applyFill="1" applyBorder="1"/>
    <xf numFmtId="10" fontId="0" fillId="2" borderId="7" xfId="1" applyNumberFormat="1" applyFont="1" applyFill="1" applyBorder="1" applyAlignment="1">
      <alignment horizontal="right"/>
    </xf>
    <xf numFmtId="10" fontId="0" fillId="2" borderId="6" xfId="1" applyNumberFormat="1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Frontiers</a:t>
            </a:r>
          </a:p>
        </c:rich>
      </c:tx>
      <c:layout>
        <c:manualLayout>
          <c:xMode val="edge"/>
          <c:yMode val="edge"/>
          <c:x val="0.39591879586480261"/>
          <c:y val="1.879699248120300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16326530612246"/>
          <c:y val="3.6340852130325813E-2"/>
          <c:w val="0.86734779581123789"/>
          <c:h val="0.827067669172932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Q1_S!$K$7</c:f>
              <c:strCache>
                <c:ptCount val="1"/>
                <c:pt idx="0">
                  <c:v>Unrestricted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Q1_S!$K$12:$K$43</c:f>
              <c:numCache>
                <c:formatCode>0.00%</c:formatCode>
                <c:ptCount val="32"/>
                <c:pt idx="0">
                  <c:v>7.7976684237264686E-3</c:v>
                </c:pt>
                <c:pt idx="1">
                  <c:v>1.0937782384473916E-2</c:v>
                </c:pt>
                <c:pt idx="2">
                  <c:v>1.5851349972330939E-2</c:v>
                </c:pt>
                <c:pt idx="3">
                  <c:v>2.1346997347699702E-2</c:v>
                </c:pt>
                <c:pt idx="4">
                  <c:v>2.7072533620246537E-2</c:v>
                </c:pt>
                <c:pt idx="5">
                  <c:v>3.2908184840667758E-2</c:v>
                </c:pt>
                <c:pt idx="6">
                  <c:v>3.8804907348117347E-2</c:v>
                </c:pt>
                <c:pt idx="7">
                  <c:v>4.4737519033399779E-2</c:v>
                </c:pt>
                <c:pt idx="8">
                  <c:v>5.0693839667301399E-2</c:v>
                </c:pt>
                <c:pt idx="9">
                  <c:v>5.6666454678514132E-2</c:v>
                </c:pt>
                <c:pt idx="10">
                  <c:v>6.265032529073529E-2</c:v>
                </c:pt>
                <c:pt idx="11">
                  <c:v>6.8643153387730457E-2</c:v>
                </c:pt>
                <c:pt idx="12">
                  <c:v>7.4642485230571792E-2</c:v>
                </c:pt>
                <c:pt idx="13">
                  <c:v>8.0647161535888606E-2</c:v>
                </c:pt>
                <c:pt idx="14">
                  <c:v>8.6655532910414598E-2</c:v>
                </c:pt>
                <c:pt idx="15">
                  <c:v>9.2667109343294904E-2</c:v>
                </c:pt>
                <c:pt idx="16">
                  <c:v>9.8681337764282534E-2</c:v>
                </c:pt>
                <c:pt idx="17">
                  <c:v>0.10469775013327193</c:v>
                </c:pt>
                <c:pt idx="18">
                  <c:v>0.11071598651902238</c:v>
                </c:pt>
                <c:pt idx="19">
                  <c:v>0.11673556859874763</c:v>
                </c:pt>
                <c:pt idx="20">
                  <c:v>0.12275686553749091</c:v>
                </c:pt>
                <c:pt idx="21">
                  <c:v>0.12877902428097451</c:v>
                </c:pt>
                <c:pt idx="22">
                  <c:v>0.13480287600563695</c:v>
                </c:pt>
                <c:pt idx="23">
                  <c:v>0.14082684346082641</c:v>
                </c:pt>
                <c:pt idx="24">
                  <c:v>0.14685472499951743</c:v>
                </c:pt>
                <c:pt idx="25">
                  <c:v>0.15287700423044304</c:v>
                </c:pt>
                <c:pt idx="26">
                  <c:v>0.15890268673405417</c:v>
                </c:pt>
                <c:pt idx="27">
                  <c:v>0.16493154472819604</c:v>
                </c:pt>
                <c:pt idx="28">
                  <c:v>0.17095663328226934</c:v>
                </c:pt>
                <c:pt idx="29">
                  <c:v>0.17698640356602838</c:v>
                </c:pt>
                <c:pt idx="30">
                  <c:v>0.18301192686714657</c:v>
                </c:pt>
                <c:pt idx="31">
                  <c:v>0.18904216866837917</c:v>
                </c:pt>
              </c:numCache>
            </c:numRef>
          </c:xVal>
          <c:yVal>
            <c:numRef>
              <c:f>Q1_S!$J$12:$J$43</c:f>
              <c:numCache>
                <c:formatCode>0.0%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Q1_S!$L$5</c:f>
              <c:strCache>
                <c:ptCount val="1"/>
                <c:pt idx="0">
                  <c:v>Restricted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Q1_S!$L$12:$L$43</c:f>
              <c:numCache>
                <c:formatCode>0.00%</c:formatCode>
                <c:ptCount val="32"/>
                <c:pt idx="0">
                  <c:v>9.6048891572485459E-3</c:v>
                </c:pt>
                <c:pt idx="1">
                  <c:v>1.2007693704665218E-2</c:v>
                </c:pt>
                <c:pt idx="2">
                  <c:v>1.7061486471019467E-2</c:v>
                </c:pt>
                <c:pt idx="3">
                  <c:v>2.278788762320446E-2</c:v>
                </c:pt>
                <c:pt idx="4">
                  <c:v>2.8799999999999999E-2</c:v>
                </c:pt>
                <c:pt idx="5">
                  <c:v>3.4921661581536902E-2</c:v>
                </c:pt>
                <c:pt idx="6">
                  <c:v>4.1128622898197194E-2</c:v>
                </c:pt>
                <c:pt idx="7">
                  <c:v>4.7380241499372158E-2</c:v>
                </c:pt>
                <c:pt idx="8">
                  <c:v>5.3660912464131232E-2</c:v>
                </c:pt>
                <c:pt idx="9">
                  <c:v>5.9961507332334969E-2</c:v>
                </c:pt>
                <c:pt idx="10">
                  <c:v>6.6298076837486994E-2</c:v>
                </c:pt>
                <c:pt idx="11">
                  <c:v>7.3914092692132644E-2</c:v>
                </c:pt>
                <c:pt idx="12">
                  <c:v>8.3118083633262063E-2</c:v>
                </c:pt>
                <c:pt idx="13">
                  <c:v>9.3441977514283514E-2</c:v>
                </c:pt>
                <c:pt idx="14">
                  <c:v>0.10455455563128596</c:v>
                </c:pt>
                <c:pt idx="15">
                  <c:v>0.11622982258496609</c:v>
                </c:pt>
                <c:pt idx="16">
                  <c:v>0.12831427361616954</c:v>
                </c:pt>
                <c:pt idx="17">
                  <c:v>0.1407025174742953</c:v>
                </c:pt>
                <c:pt idx="18">
                  <c:v>0.15332093446208658</c:v>
                </c:pt>
                <c:pt idx="19">
                  <c:v>0.16611707892000319</c:v>
                </c:pt>
                <c:pt idx="20">
                  <c:v>0.17905285110739036</c:v>
                </c:pt>
                <c:pt idx="21">
                  <c:v>0.19210004600996827</c:v>
                </c:pt>
                <c:pt idx="22">
                  <c:v>0.20523741492316214</c:v>
                </c:pt>
                <c:pt idx="23">
                  <c:v>0.21844868933317016</c:v>
                </c:pt>
                <c:pt idx="24">
                  <c:v>0.23172122826843211</c:v>
                </c:pt>
                <c:pt idx="25">
                  <c:v>0.25967273275360114</c:v>
                </c:pt>
              </c:numCache>
            </c:numRef>
          </c:xVal>
          <c:yVal>
            <c:numRef>
              <c:f>Q1_S!$J$12:$J$43</c:f>
              <c:numCache>
                <c:formatCode>0.0%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368720"/>
        <c:axId val="429800592"/>
      </c:scatterChart>
      <c:valAx>
        <c:axId val="48936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54489838770153731"/>
              <c:y val="0.9110275689223057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9800592"/>
        <c:crosses val="autoZero"/>
        <c:crossBetween val="midCat"/>
      </c:valAx>
      <c:valAx>
        <c:axId val="4298005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1.020408163265306E-2"/>
              <c:y val="0.4022556390977443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936872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2449001017729928"/>
          <c:y val="8.771929824561403E-2"/>
          <c:w val="0.1979593979324013"/>
          <c:h val="0.1466165413533834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8961303462322"/>
          <c:y val="9.3633301268804384E-2"/>
          <c:w val="0.83910386965376793"/>
          <c:h val="0.790265062708709"/>
        </c:manualLayout>
      </c:layout>
      <c:scatterChart>
        <c:scatterStyle val="smoothMarker"/>
        <c:varyColors val="0"/>
        <c:ser>
          <c:idx val="1"/>
          <c:order val="0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Q1_S!$L$12:$L$43</c:f>
              <c:numCache>
                <c:formatCode>0.00%</c:formatCode>
                <c:ptCount val="32"/>
                <c:pt idx="0">
                  <c:v>9.6048891572485459E-3</c:v>
                </c:pt>
                <c:pt idx="1">
                  <c:v>1.2007693704665218E-2</c:v>
                </c:pt>
                <c:pt idx="2">
                  <c:v>1.7061486471019467E-2</c:v>
                </c:pt>
                <c:pt idx="3">
                  <c:v>2.278788762320446E-2</c:v>
                </c:pt>
                <c:pt idx="4">
                  <c:v>2.8799999999999999E-2</c:v>
                </c:pt>
                <c:pt idx="5">
                  <c:v>3.4921661581536902E-2</c:v>
                </c:pt>
                <c:pt idx="6">
                  <c:v>4.1128622898197194E-2</c:v>
                </c:pt>
                <c:pt idx="7">
                  <c:v>4.7380241499372158E-2</c:v>
                </c:pt>
                <c:pt idx="8">
                  <c:v>5.3660912464131232E-2</c:v>
                </c:pt>
                <c:pt idx="9">
                  <c:v>5.9961507332334969E-2</c:v>
                </c:pt>
                <c:pt idx="10">
                  <c:v>6.6298076837486994E-2</c:v>
                </c:pt>
                <c:pt idx="11">
                  <c:v>7.3914092692132644E-2</c:v>
                </c:pt>
                <c:pt idx="12">
                  <c:v>8.3118083633262063E-2</c:v>
                </c:pt>
                <c:pt idx="13">
                  <c:v>9.3441977514283514E-2</c:v>
                </c:pt>
                <c:pt idx="14">
                  <c:v>0.10455455563128596</c:v>
                </c:pt>
                <c:pt idx="15">
                  <c:v>0.11622982258496609</c:v>
                </c:pt>
                <c:pt idx="16">
                  <c:v>0.12831427361616954</c:v>
                </c:pt>
                <c:pt idx="17">
                  <c:v>0.1407025174742953</c:v>
                </c:pt>
                <c:pt idx="18">
                  <c:v>0.15332093446208658</c:v>
                </c:pt>
                <c:pt idx="19">
                  <c:v>0.16611707892000319</c:v>
                </c:pt>
                <c:pt idx="20">
                  <c:v>0.17905285110739036</c:v>
                </c:pt>
                <c:pt idx="21">
                  <c:v>0.19210004600996827</c:v>
                </c:pt>
                <c:pt idx="22">
                  <c:v>0.20523741492316214</c:v>
                </c:pt>
                <c:pt idx="23">
                  <c:v>0.21844868933317016</c:v>
                </c:pt>
                <c:pt idx="24">
                  <c:v>0.23172122826843211</c:v>
                </c:pt>
                <c:pt idx="25">
                  <c:v>0.25967273275360114</c:v>
                </c:pt>
              </c:numCache>
            </c:numRef>
          </c:xVal>
          <c:yVal>
            <c:numRef>
              <c:f>Q1_S!$J$12:$J$43</c:f>
              <c:numCache>
                <c:formatCode>0.0%</c:formatCode>
                <c:ptCount val="32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0.19000000000000003</c:v>
                </c:pt>
                <c:pt idx="19">
                  <c:v>0.20000000000000004</c:v>
                </c:pt>
                <c:pt idx="20">
                  <c:v>0.21000000000000005</c:v>
                </c:pt>
                <c:pt idx="21">
                  <c:v>0.22000000000000006</c:v>
                </c:pt>
                <c:pt idx="22">
                  <c:v>0.23000000000000007</c:v>
                </c:pt>
                <c:pt idx="23">
                  <c:v>0.24000000000000007</c:v>
                </c:pt>
                <c:pt idx="24">
                  <c:v>0.25000000000000006</c:v>
                </c:pt>
                <c:pt idx="25">
                  <c:v>0.26000000000000006</c:v>
                </c:pt>
                <c:pt idx="26">
                  <c:v>0.27000000000000007</c:v>
                </c:pt>
                <c:pt idx="27">
                  <c:v>0.28000000000000008</c:v>
                </c:pt>
                <c:pt idx="28">
                  <c:v>0.29000000000000009</c:v>
                </c:pt>
                <c:pt idx="29">
                  <c:v>0.3000000000000001</c:v>
                </c:pt>
                <c:pt idx="30">
                  <c:v>0.31000000000000011</c:v>
                </c:pt>
                <c:pt idx="31">
                  <c:v>0.32000000000000012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545664"/>
        <c:axId val="461545104"/>
      </c:scatterChart>
      <c:valAx>
        <c:axId val="461545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54582484725050917"/>
              <c:y val="0.9263452180836946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1545104"/>
        <c:crosses val="autoZero"/>
        <c:crossBetween val="midCat"/>
      </c:valAx>
      <c:valAx>
        <c:axId val="461545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return</a:t>
                </a:r>
              </a:p>
            </c:rich>
          </c:tx>
          <c:layout>
            <c:manualLayout>
              <c:xMode val="edge"/>
              <c:yMode val="edge"/>
              <c:x val="1.0183299389002037E-2"/>
              <c:y val="0.4269678649719346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15456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3</xdr:row>
      <xdr:rowOff>76200</xdr:rowOff>
    </xdr:from>
    <xdr:to>
      <xdr:col>21</xdr:col>
      <xdr:colOff>152400</xdr:colOff>
      <xdr:row>18</xdr:row>
      <xdr:rowOff>38100</xdr:rowOff>
    </xdr:to>
    <xdr:graphicFrame macro="">
      <xdr:nvGraphicFramePr>
        <xdr:cNvPr id="103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18</xdr:row>
      <xdr:rowOff>142875</xdr:rowOff>
    </xdr:from>
    <xdr:to>
      <xdr:col>21</xdr:col>
      <xdr:colOff>142875</xdr:colOff>
      <xdr:row>33</xdr:row>
      <xdr:rowOff>95250</xdr:rowOff>
    </xdr:to>
    <xdr:graphicFrame macro="">
      <xdr:nvGraphicFramePr>
        <xdr:cNvPr id="103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276225</xdr:colOff>
      <xdr:row>20</xdr:row>
      <xdr:rowOff>133350</xdr:rowOff>
    </xdr:from>
    <xdr:to>
      <xdr:col>17</xdr:col>
      <xdr:colOff>561975</xdr:colOff>
      <xdr:row>31</xdr:row>
      <xdr:rowOff>95250</xdr:rowOff>
    </xdr:to>
    <xdr:grpSp>
      <xdr:nvGrpSpPr>
        <xdr:cNvPr id="1037" name="Group 10"/>
        <xdr:cNvGrpSpPr>
          <a:grpSpLocks/>
        </xdr:cNvGrpSpPr>
      </xdr:nvGrpSpPr>
      <xdr:grpSpPr bwMode="auto">
        <a:xfrm>
          <a:off x="10288905" y="3615690"/>
          <a:ext cx="2114550" cy="2141220"/>
          <a:chOff x="1068" y="371"/>
          <a:chExt cx="222" cy="200"/>
        </a:xfrm>
      </xdr:grpSpPr>
      <xdr:sp macro="" textlink="">
        <xdr:nvSpPr>
          <xdr:cNvPr id="1038" name="Line 3"/>
          <xdr:cNvSpPr>
            <a:spLocks noChangeShapeType="1"/>
          </xdr:cNvSpPr>
        </xdr:nvSpPr>
        <xdr:spPr bwMode="auto">
          <a:xfrm flipV="1">
            <a:off x="1068" y="427"/>
            <a:ext cx="192" cy="144"/>
          </a:xfrm>
          <a:prstGeom prst="line">
            <a:avLst/>
          </a:prstGeom>
          <a:noFill/>
          <a:ln w="9525" cap="rnd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8" name="Text Box 4"/>
          <xdr:cNvSpPr txBox="1">
            <a:spLocks noChangeArrowheads="1"/>
          </xdr:cNvSpPr>
        </xdr:nvSpPr>
        <xdr:spPr bwMode="auto">
          <a:xfrm>
            <a:off x="1161" y="534"/>
            <a:ext cx="129" cy="20"/>
          </a:xfrm>
          <a:prstGeom prst="rect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Optimal risky portfolio</a:t>
            </a:r>
          </a:p>
        </xdr:txBody>
      </xdr:sp>
      <xdr:sp macro="" textlink="">
        <xdr:nvSpPr>
          <xdr:cNvPr id="1029" name="Text Box 5"/>
          <xdr:cNvSpPr txBox="1">
            <a:spLocks noChangeArrowheads="1"/>
          </xdr:cNvSpPr>
        </xdr:nvSpPr>
        <xdr:spPr bwMode="auto">
          <a:xfrm>
            <a:off x="1127" y="371"/>
            <a:ext cx="29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CML</a:t>
            </a:r>
          </a:p>
        </xdr:txBody>
      </xdr:sp>
      <xdr:sp macro="" textlink="">
        <xdr:nvSpPr>
          <xdr:cNvPr id="1041" name="Line 8"/>
          <xdr:cNvSpPr>
            <a:spLocks noChangeShapeType="1"/>
          </xdr:cNvSpPr>
        </xdr:nvSpPr>
        <xdr:spPr bwMode="auto">
          <a:xfrm>
            <a:off x="1145" y="386"/>
            <a:ext cx="84" cy="61"/>
          </a:xfrm>
          <a:prstGeom prst="line">
            <a:avLst/>
          </a:prstGeom>
          <a:noFill/>
          <a:ln w="9525" cap="rnd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  <a:prstDash val="sysDot"/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3" name="Text Box 9"/>
          <xdr:cNvSpPr txBox="1">
            <a:spLocks noChangeArrowheads="1"/>
          </xdr:cNvSpPr>
        </xdr:nvSpPr>
        <xdr:spPr bwMode="auto">
          <a:xfrm>
            <a:off x="1118" y="421"/>
            <a:ext cx="78" cy="1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0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Slope = 1.65</a:t>
            </a:r>
          </a:p>
        </xdr:txBody>
      </xdr:sp>
    </xdr:grpSp>
    <xdr:clientData/>
  </xdr:twoCellAnchor>
  <xdr:twoCellAnchor>
    <xdr:from>
      <xdr:col>15</xdr:col>
      <xdr:colOff>47624</xdr:colOff>
      <xdr:row>30</xdr:row>
      <xdr:rowOff>0</xdr:rowOff>
    </xdr:from>
    <xdr:to>
      <xdr:col>15</xdr:col>
      <xdr:colOff>542924</xdr:colOff>
      <xdr:row>30</xdr:row>
      <xdr:rowOff>38099</xdr:rowOff>
    </xdr:to>
    <xdr:sp macro="" textlink="">
      <xdr:nvSpPr>
        <xdr:cNvPr id="10" name="Line 8"/>
        <xdr:cNvSpPr>
          <a:spLocks noChangeShapeType="1"/>
        </xdr:cNvSpPr>
      </xdr:nvSpPr>
      <xdr:spPr bwMode="auto">
        <a:xfrm flipH="1">
          <a:off x="10572749" y="5162550"/>
          <a:ext cx="495300" cy="38099"/>
        </a:xfrm>
        <a:prstGeom prst="line">
          <a:avLst/>
        </a:prstGeom>
        <a:noFill/>
        <a:ln w="9525" cap="rnd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0.17314</cdr:x>
      <cdr:y>0.76779</cdr:y>
    </cdr:from>
    <cdr:to>
      <cdr:x>0.18941</cdr:x>
      <cdr:y>0.79401</cdr:y>
    </cdr:to>
    <cdr:sp macro="" textlink="">
      <cdr:nvSpPr>
        <cdr:cNvPr id="3075" name="Oval 3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09738" y="1952626"/>
          <a:ext cx="76088" cy="66674"/>
        </a:xfrm>
        <a:prstGeom xmlns:a="http://schemas.openxmlformats.org/drawingml/2006/main" prst="ellipse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0000FF" mc:Ignorable="a14" a14:legacySpreadsheetColorIndex="12"/>
        </a:solid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T54"/>
  <sheetViews>
    <sheetView tabSelected="1" workbookViewId="0">
      <selection activeCell="E9" sqref="E9"/>
    </sheetView>
  </sheetViews>
  <sheetFormatPr defaultRowHeight="13.2" x14ac:dyDescent="0.25"/>
  <cols>
    <col min="1" max="1" width="17.33203125" customWidth="1"/>
    <col min="11" max="12" width="15.44140625" customWidth="1"/>
  </cols>
  <sheetData>
    <row r="2" spans="1:14" x14ac:dyDescent="0.25">
      <c r="A2" s="1" t="s">
        <v>4</v>
      </c>
    </row>
    <row r="3" spans="1:14" x14ac:dyDescent="0.25">
      <c r="A3" s="2"/>
    </row>
    <row r="4" spans="1:14" x14ac:dyDescent="0.25">
      <c r="B4" s="2"/>
      <c r="K4" s="28" t="s">
        <v>18</v>
      </c>
      <c r="L4" s="29" t="s">
        <v>19</v>
      </c>
    </row>
    <row r="5" spans="1:14" x14ac:dyDescent="0.25">
      <c r="B5" s="8" t="s">
        <v>5</v>
      </c>
      <c r="C5" s="9" t="s">
        <v>7</v>
      </c>
      <c r="J5" s="3"/>
      <c r="K5" s="4"/>
      <c r="L5" s="20" t="s">
        <v>12</v>
      </c>
    </row>
    <row r="6" spans="1:14" x14ac:dyDescent="0.25">
      <c r="B6" s="10" t="s">
        <v>6</v>
      </c>
      <c r="C6" s="11" t="s">
        <v>8</v>
      </c>
      <c r="J6" s="6"/>
      <c r="K6" s="21"/>
      <c r="L6" s="22" t="s">
        <v>5</v>
      </c>
      <c r="M6" s="60" t="s">
        <v>25</v>
      </c>
    </row>
    <row r="7" spans="1:14" x14ac:dyDescent="0.25">
      <c r="A7" s="12" t="s">
        <v>20</v>
      </c>
      <c r="B7" s="69">
        <v>0.31269012619446784</v>
      </c>
      <c r="C7" s="66">
        <v>0.26509456947214166</v>
      </c>
      <c r="E7" s="58" t="s">
        <v>24</v>
      </c>
      <c r="F7" s="35"/>
      <c r="J7" s="6"/>
      <c r="K7" s="23" t="s">
        <v>11</v>
      </c>
      <c r="L7" s="22" t="s">
        <v>6</v>
      </c>
      <c r="M7" t="s">
        <v>26</v>
      </c>
    </row>
    <row r="8" spans="1:14" x14ac:dyDescent="0.25">
      <c r="A8" s="13" t="s">
        <v>21</v>
      </c>
      <c r="B8" s="70">
        <v>0.20890009355467093</v>
      </c>
      <c r="C8" s="67">
        <v>-6.3762742085127153E-3</v>
      </c>
      <c r="E8" s="58" t="s">
        <v>32</v>
      </c>
      <c r="F8" s="35"/>
      <c r="J8" s="24" t="s">
        <v>3</v>
      </c>
      <c r="K8" s="23" t="s">
        <v>5</v>
      </c>
      <c r="L8" s="22" t="s">
        <v>13</v>
      </c>
      <c r="M8" s="62" t="s">
        <v>28</v>
      </c>
    </row>
    <row r="9" spans="1:14" x14ac:dyDescent="0.25">
      <c r="A9" s="13" t="s">
        <v>31</v>
      </c>
      <c r="B9" s="70">
        <v>5.9321865113753092E-2</v>
      </c>
      <c r="C9" s="67">
        <v>7.9072061918424461E-2</v>
      </c>
      <c r="E9" s="35"/>
      <c r="F9" s="35"/>
      <c r="J9" s="24" t="s">
        <v>8</v>
      </c>
      <c r="K9" s="23" t="s">
        <v>6</v>
      </c>
      <c r="L9" s="22" t="s">
        <v>14</v>
      </c>
    </row>
    <row r="10" spans="1:14" x14ac:dyDescent="0.25">
      <c r="A10" s="13" t="s">
        <v>30</v>
      </c>
      <c r="B10" s="70">
        <v>6.9230205988203272E-2</v>
      </c>
      <c r="C10" s="67">
        <v>4.0727529616410414E-2</v>
      </c>
      <c r="E10" s="35"/>
      <c r="F10" s="35"/>
      <c r="J10" s="25" t="s">
        <v>15</v>
      </c>
      <c r="K10" s="26" t="s">
        <v>15</v>
      </c>
      <c r="L10" s="27" t="s">
        <v>15</v>
      </c>
    </row>
    <row r="11" spans="1:14" x14ac:dyDescent="0.25">
      <c r="A11" s="13" t="s">
        <v>22</v>
      </c>
      <c r="B11" s="70">
        <v>5.7540009310014149E-2</v>
      </c>
      <c r="C11" s="67">
        <v>3.914510502563974E-2</v>
      </c>
      <c r="E11" s="35"/>
      <c r="F11" s="35"/>
      <c r="J11" s="78">
        <v>0</v>
      </c>
      <c r="K11" s="33"/>
      <c r="L11" s="34"/>
      <c r="N11" s="59"/>
    </row>
    <row r="12" spans="1:14" x14ac:dyDescent="0.25">
      <c r="A12" s="13" t="s">
        <v>23</v>
      </c>
      <c r="B12" s="70">
        <v>0.25297747948970528</v>
      </c>
      <c r="C12" s="67">
        <v>0.25047174120355392</v>
      </c>
      <c r="E12" s="35"/>
      <c r="F12" s="35"/>
      <c r="J12" s="77">
        <v>0.01</v>
      </c>
      <c r="K12" s="83">
        <v>7.7976684237264686E-3</v>
      </c>
      <c r="L12" s="86">
        <v>9.6048891572485459E-3</v>
      </c>
      <c r="M12" s="59">
        <f>(J12-0.25%)/L12</f>
        <v>0.78085232189691178</v>
      </c>
      <c r="N12" s="59"/>
    </row>
    <row r="13" spans="1:14" x14ac:dyDescent="0.25">
      <c r="A13" s="14" t="s">
        <v>29</v>
      </c>
      <c r="B13" s="71">
        <v>9.9158869709529869E-3</v>
      </c>
      <c r="C13" s="68">
        <v>9.2640147542693858E-3</v>
      </c>
      <c r="E13" s="35"/>
      <c r="F13" s="35"/>
      <c r="J13" s="77">
        <f>J12+1%</f>
        <v>0.02</v>
      </c>
      <c r="K13" s="83">
        <v>1.0937782384473916E-2</v>
      </c>
      <c r="L13" s="86">
        <v>1.2007693704665218E-2</v>
      </c>
      <c r="M13" s="59">
        <f t="shared" ref="M13:M24" si="0">(J13-0.25%)/L13</f>
        <v>1.457398933585466</v>
      </c>
      <c r="N13" s="59"/>
    </row>
    <row r="14" spans="1:14" x14ac:dyDescent="0.25">
      <c r="A14" s="15"/>
      <c r="J14" s="77">
        <f t="shared" ref="J14:J43" si="1">J13+1%</f>
        <v>0.03</v>
      </c>
      <c r="K14" s="83">
        <v>1.5851349972330939E-2</v>
      </c>
      <c r="L14" s="86">
        <v>1.7061486471019467E-2</v>
      </c>
      <c r="M14" s="59">
        <f t="shared" si="0"/>
        <v>1.611817355229354</v>
      </c>
      <c r="N14" s="59"/>
    </row>
    <row r="15" spans="1:14" x14ac:dyDescent="0.25">
      <c r="A15" s="15"/>
      <c r="B15" s="43"/>
      <c r="C15" s="44"/>
      <c r="D15" s="44" t="s">
        <v>9</v>
      </c>
      <c r="E15" s="44"/>
      <c r="F15" s="44"/>
      <c r="G15" s="44"/>
      <c r="H15" s="45"/>
      <c r="J15" s="77">
        <f t="shared" si="1"/>
        <v>0.04</v>
      </c>
      <c r="K15" s="83">
        <v>2.1346997347699702E-2</v>
      </c>
      <c r="L15" s="86">
        <v>2.278788762320446E-2</v>
      </c>
      <c r="M15" s="61">
        <f>(J15-0.25%)/L15</f>
        <v>1.6456110640906656</v>
      </c>
      <c r="N15" s="59"/>
    </row>
    <row r="16" spans="1:14" ht="23.4" x14ac:dyDescent="0.25">
      <c r="A16" s="15"/>
      <c r="B16" s="37" t="str">
        <f>A17</f>
        <v>Intl Equity</v>
      </c>
      <c r="C16" s="38" t="str">
        <f>A18</f>
        <v>Commodities</v>
      </c>
      <c r="D16" s="38" t="str">
        <f>A19</f>
        <v>Inv Grade credit</v>
      </c>
      <c r="E16" s="38" t="str">
        <f>A20</f>
        <v>7-10yr UST</v>
      </c>
      <c r="F16" s="38" t="str">
        <f>A21</f>
        <v>Inflation-sensitive</v>
      </c>
      <c r="G16" s="38" t="str">
        <f>A22</f>
        <v>Real Estate</v>
      </c>
      <c r="H16" s="39" t="str">
        <f>A23</f>
        <v>1-3yr UST</v>
      </c>
      <c r="J16" s="77">
        <f t="shared" si="1"/>
        <v>0.05</v>
      </c>
      <c r="K16" s="83">
        <v>2.7072533620246537E-2</v>
      </c>
      <c r="L16" s="86">
        <v>2.8799999999999999E-2</v>
      </c>
      <c r="M16" s="61">
        <f t="shared" si="0"/>
        <v>1.6493055555555556</v>
      </c>
      <c r="N16" s="59"/>
    </row>
    <row r="17" spans="1:20" x14ac:dyDescent="0.25">
      <c r="A17" s="36" t="str">
        <f>A$7</f>
        <v>Intl Equity</v>
      </c>
      <c r="B17" s="72">
        <v>1</v>
      </c>
      <c r="C17" s="73">
        <v>0.31772480174307655</v>
      </c>
      <c r="D17" s="73">
        <v>-1.7881349049990145E-2</v>
      </c>
      <c r="E17" s="73">
        <v>-0.29645357244379023</v>
      </c>
      <c r="F17" s="73">
        <v>-0.19302914168531438</v>
      </c>
      <c r="G17" s="73">
        <v>0.50518255488493424</v>
      </c>
      <c r="H17" s="63">
        <v>-0.16332938987594869</v>
      </c>
      <c r="J17" s="77">
        <f t="shared" si="1"/>
        <v>6.0000000000000005E-2</v>
      </c>
      <c r="K17" s="83">
        <v>3.2908184840667758E-2</v>
      </c>
      <c r="L17" s="86">
        <v>3.4921661581536902E-2</v>
      </c>
      <c r="M17" s="61">
        <f t="shared" si="0"/>
        <v>1.64654250101319</v>
      </c>
      <c r="N17" s="59"/>
      <c r="O17" s="35"/>
      <c r="P17" s="35"/>
      <c r="Q17" s="35"/>
      <c r="R17" s="35"/>
      <c r="S17" s="35"/>
      <c r="T17" s="35"/>
    </row>
    <row r="18" spans="1:20" x14ac:dyDescent="0.25">
      <c r="A18" s="36" t="str">
        <f>A$8</f>
        <v>Commodities</v>
      </c>
      <c r="B18" s="72">
        <v>0.31772480174307655</v>
      </c>
      <c r="C18" s="74">
        <v>1</v>
      </c>
      <c r="D18" s="74">
        <v>-1.5740064586171904E-2</v>
      </c>
      <c r="E18" s="74">
        <v>-0.2748088696610782</v>
      </c>
      <c r="F18" s="74">
        <v>-2.0512079909067119E-2</v>
      </c>
      <c r="G18" s="74">
        <v>0.43087592367093008</v>
      </c>
      <c r="H18" s="64">
        <v>-0.15209044664012067</v>
      </c>
      <c r="J18" s="77">
        <f t="shared" si="1"/>
        <v>7.0000000000000007E-2</v>
      </c>
      <c r="K18" s="83">
        <v>3.8804907348117347E-2</v>
      </c>
      <c r="L18" s="86">
        <v>4.1128622898197194E-2</v>
      </c>
      <c r="M18" s="59">
        <f t="shared" si="0"/>
        <v>1.641192805484347</v>
      </c>
      <c r="N18" s="59"/>
      <c r="O18" s="35"/>
      <c r="P18" s="35"/>
      <c r="Q18" s="35"/>
      <c r="R18" s="35"/>
      <c r="S18" s="35"/>
      <c r="T18" s="35"/>
    </row>
    <row r="19" spans="1:20" x14ac:dyDescent="0.25">
      <c r="A19" s="36" t="str">
        <f>A$9</f>
        <v>Inv Grade credit</v>
      </c>
      <c r="B19" s="72">
        <v>-1.7881349049990145E-2</v>
      </c>
      <c r="C19" s="74">
        <v>-1.5740064586171904E-2</v>
      </c>
      <c r="D19" s="74">
        <v>1.0000000000000002</v>
      </c>
      <c r="E19" s="74">
        <v>0.72021155063604836</v>
      </c>
      <c r="F19" s="74">
        <v>0.66511742748912861</v>
      </c>
      <c r="G19" s="74">
        <v>0.10809962655862673</v>
      </c>
      <c r="H19" s="64">
        <v>0.52264770585288256</v>
      </c>
      <c r="J19" s="77">
        <f t="shared" si="1"/>
        <v>0.08</v>
      </c>
      <c r="K19" s="83">
        <v>4.4737519033399779E-2</v>
      </c>
      <c r="L19" s="86">
        <v>4.7380241499372158E-2</v>
      </c>
      <c r="M19" s="59">
        <f t="shared" si="0"/>
        <v>1.6357029332792017</v>
      </c>
      <c r="N19" s="59"/>
      <c r="O19" s="35"/>
      <c r="P19" s="35"/>
      <c r="Q19" s="35"/>
      <c r="R19" s="35"/>
      <c r="S19" s="35"/>
      <c r="T19" s="35"/>
    </row>
    <row r="20" spans="1:20" x14ac:dyDescent="0.25">
      <c r="A20" s="36" t="str">
        <f>A$10</f>
        <v>7-10yr UST</v>
      </c>
      <c r="B20" s="72">
        <v>-0.29645357244379023</v>
      </c>
      <c r="C20" s="74">
        <v>-0.2748088696610782</v>
      </c>
      <c r="D20" s="74">
        <v>0.72021155063604836</v>
      </c>
      <c r="E20" s="74">
        <v>1</v>
      </c>
      <c r="F20" s="74">
        <v>0.78794001742761366</v>
      </c>
      <c r="G20" s="74">
        <v>-0.27007719955619847</v>
      </c>
      <c r="H20" s="64">
        <v>0.71658146470379369</v>
      </c>
      <c r="J20" s="77">
        <f t="shared" si="1"/>
        <v>0.09</v>
      </c>
      <c r="K20" s="83">
        <v>5.0693839667301399E-2</v>
      </c>
      <c r="L20" s="86">
        <v>5.3660912464131232E-2</v>
      </c>
      <c r="M20" s="59">
        <f t="shared" si="0"/>
        <v>1.6306096184720666</v>
      </c>
      <c r="N20" s="59"/>
      <c r="O20" s="35"/>
      <c r="P20" s="35"/>
      <c r="Q20" s="35"/>
      <c r="R20" s="35"/>
      <c r="S20" s="35"/>
      <c r="T20" s="35"/>
    </row>
    <row r="21" spans="1:20" x14ac:dyDescent="0.25">
      <c r="A21" s="36" t="str">
        <f>A$11</f>
        <v>Inflation-sensitive</v>
      </c>
      <c r="B21" s="72">
        <v>-0.19302914168531438</v>
      </c>
      <c r="C21" s="74">
        <v>-2.0512079909067119E-2</v>
      </c>
      <c r="D21" s="74">
        <v>0.66511742748912861</v>
      </c>
      <c r="E21" s="74">
        <v>0.78794001742761366</v>
      </c>
      <c r="F21" s="74">
        <v>1</v>
      </c>
      <c r="G21" s="74">
        <v>-9.3265910628468965E-2</v>
      </c>
      <c r="H21" s="64">
        <v>0.54785921747589506</v>
      </c>
      <c r="J21" s="77">
        <f t="shared" si="1"/>
        <v>9.9999999999999992E-2</v>
      </c>
      <c r="K21" s="83">
        <v>5.6666454678514132E-2</v>
      </c>
      <c r="L21" s="86">
        <v>5.9961507332334969E-2</v>
      </c>
      <c r="M21" s="59">
        <f t="shared" si="0"/>
        <v>1.6260431789949672</v>
      </c>
      <c r="N21" s="59"/>
      <c r="O21" s="35"/>
      <c r="P21" s="35"/>
      <c r="Q21" s="35"/>
      <c r="R21" s="35"/>
      <c r="S21" s="35"/>
      <c r="T21" s="35"/>
    </row>
    <row r="22" spans="1:20" x14ac:dyDescent="0.25">
      <c r="A22" s="36" t="str">
        <f>A$12</f>
        <v>Real Estate</v>
      </c>
      <c r="B22" s="72">
        <v>0.50518255488493424</v>
      </c>
      <c r="C22" s="74">
        <v>0.43087592367093008</v>
      </c>
      <c r="D22" s="74">
        <v>0.10809962655862673</v>
      </c>
      <c r="E22" s="74">
        <v>-0.27007719955619847</v>
      </c>
      <c r="F22" s="74">
        <v>-9.3265910628468965E-2</v>
      </c>
      <c r="G22" s="74">
        <v>0.99999999999999978</v>
      </c>
      <c r="H22" s="64">
        <v>-0.20697156651827736</v>
      </c>
      <c r="J22" s="77">
        <f t="shared" si="1"/>
        <v>0.10999999999999999</v>
      </c>
      <c r="K22" s="83">
        <v>6.265032529073529E-2</v>
      </c>
      <c r="L22" s="86">
        <v>6.6298076837486994E-2</v>
      </c>
      <c r="M22" s="59">
        <f t="shared" si="0"/>
        <v>1.621464831679946</v>
      </c>
      <c r="N22" s="59"/>
      <c r="O22" s="35"/>
      <c r="P22" s="35"/>
      <c r="Q22" s="35"/>
      <c r="R22" s="35"/>
      <c r="S22" s="35"/>
      <c r="T22" s="35"/>
    </row>
    <row r="23" spans="1:20" x14ac:dyDescent="0.25">
      <c r="A23" s="36" t="str">
        <f>A$13</f>
        <v>1-3yr UST</v>
      </c>
      <c r="B23" s="75">
        <v>-0.16332938987594869</v>
      </c>
      <c r="C23" s="76">
        <v>-0.15209044664012067</v>
      </c>
      <c r="D23" s="76">
        <v>0.52264770585288256</v>
      </c>
      <c r="E23" s="76">
        <v>0.71658146470379369</v>
      </c>
      <c r="F23" s="76">
        <v>0.54785921747589506</v>
      </c>
      <c r="G23" s="76">
        <v>-0.20697156651827736</v>
      </c>
      <c r="H23" s="65">
        <v>0.99999999999999989</v>
      </c>
      <c r="J23" s="77">
        <f t="shared" si="1"/>
        <v>0.11999999999999998</v>
      </c>
      <c r="K23" s="83">
        <v>6.8643153387730457E-2</v>
      </c>
      <c r="L23" s="86">
        <v>7.3914092692132644E-2</v>
      </c>
      <c r="M23" s="59">
        <f t="shared" si="0"/>
        <v>1.5896833164064068</v>
      </c>
      <c r="N23" s="59"/>
      <c r="O23" s="35"/>
      <c r="P23" s="35"/>
      <c r="Q23" s="35"/>
      <c r="R23" s="35"/>
      <c r="S23" s="35"/>
      <c r="T23" s="35"/>
    </row>
    <row r="24" spans="1:20" x14ac:dyDescent="0.25">
      <c r="J24" s="77">
        <f t="shared" si="1"/>
        <v>0.12999999999999998</v>
      </c>
      <c r="K24" s="83">
        <v>7.4642485230571792E-2</v>
      </c>
      <c r="L24" s="86">
        <v>8.3118083633262063E-2</v>
      </c>
      <c r="M24" s="59">
        <f t="shared" si="0"/>
        <v>1.5339622188904416</v>
      </c>
      <c r="N24" s="59"/>
    </row>
    <row r="25" spans="1:20" x14ac:dyDescent="0.25">
      <c r="J25" s="77">
        <f t="shared" si="1"/>
        <v>0.13999999999999999</v>
      </c>
      <c r="K25" s="83">
        <v>8.0647161535888606E-2</v>
      </c>
      <c r="L25" s="86">
        <v>9.3441977514283514E-2</v>
      </c>
      <c r="N25" s="59"/>
    </row>
    <row r="26" spans="1:20" x14ac:dyDescent="0.25">
      <c r="D26" s="30"/>
      <c r="J26" s="77">
        <f t="shared" si="1"/>
        <v>0.15</v>
      </c>
      <c r="K26" s="83">
        <v>8.6655532910414598E-2</v>
      </c>
      <c r="L26" s="86">
        <v>0.10455455563128596</v>
      </c>
      <c r="N26" s="59"/>
    </row>
    <row r="27" spans="1:20" x14ac:dyDescent="0.25">
      <c r="B27" s="17"/>
      <c r="C27" s="16" t="s">
        <v>16</v>
      </c>
      <c r="E27" s="4"/>
      <c r="F27" s="4"/>
      <c r="G27" s="4"/>
      <c r="H27" s="5"/>
      <c r="J27" s="77">
        <f t="shared" si="1"/>
        <v>0.16</v>
      </c>
      <c r="K27" s="83">
        <v>9.2667109343294904E-2</v>
      </c>
      <c r="L27" s="86">
        <v>0.11622982258496609</v>
      </c>
      <c r="N27" s="59"/>
    </row>
    <row r="28" spans="1:20" ht="39.6" x14ac:dyDescent="0.25">
      <c r="B28" s="40" t="str">
        <f>B16</f>
        <v>Intl Equity</v>
      </c>
      <c r="C28" s="41" t="str">
        <f t="shared" ref="C28:H28" si="2">C16</f>
        <v>Commodities</v>
      </c>
      <c r="D28" s="41" t="str">
        <f t="shared" si="2"/>
        <v>Inv Grade credit</v>
      </c>
      <c r="E28" s="41" t="str">
        <f t="shared" si="2"/>
        <v>7-10yr UST</v>
      </c>
      <c r="F28" s="41" t="str">
        <f t="shared" si="2"/>
        <v>Inflation-sensitive</v>
      </c>
      <c r="G28" s="41" t="str">
        <f t="shared" si="2"/>
        <v>Real Estate</v>
      </c>
      <c r="H28" s="42" t="str">
        <f t="shared" si="2"/>
        <v>1-3yr UST</v>
      </c>
      <c r="J28" s="77">
        <f t="shared" si="1"/>
        <v>0.17</v>
      </c>
      <c r="K28" s="83">
        <v>9.8681337764282534E-2</v>
      </c>
      <c r="L28" s="86">
        <v>0.12831427361616954</v>
      </c>
      <c r="N28" s="59"/>
    </row>
    <row r="29" spans="1:20" x14ac:dyDescent="0.25">
      <c r="A29" s="36" t="str">
        <f>A$7</f>
        <v>Intl Equity</v>
      </c>
      <c r="B29" s="51">
        <f>+B$7*$B7*B17</f>
        <v>9.7775115019512221E-2</v>
      </c>
      <c r="C29" s="52">
        <f t="shared" ref="C29:C35" si="3">+B$8*$B7*C17</f>
        <v>2.0754100699366361E-2</v>
      </c>
      <c r="D29" s="52">
        <f t="shared" ref="D29:D35" si="4">+B$9*$B7*D17</f>
        <v>-3.3168760743050373E-4</v>
      </c>
      <c r="E29" s="52">
        <f t="shared" ref="E29:E35" si="5">+B$10*$B7*E17</f>
        <v>-6.4175089023603095E-3</v>
      </c>
      <c r="F29" s="52">
        <f t="shared" ref="F29:F35" si="6">+B$11*$B7*F17</f>
        <v>-3.4730175278890698E-3</v>
      </c>
      <c r="G29" s="52">
        <f t="shared" ref="G29:G35" si="7">+B$12*$B7*G17</f>
        <v>3.9961738534218277E-2</v>
      </c>
      <c r="H29" s="53">
        <f t="shared" ref="H29:H35" si="8">+B$13*$B7*H17</f>
        <v>-5.0641909780154077E-4</v>
      </c>
      <c r="J29" s="77">
        <f t="shared" si="1"/>
        <v>0.18000000000000002</v>
      </c>
      <c r="K29" s="83">
        <v>0.10469775013327193</v>
      </c>
      <c r="L29" s="86">
        <v>0.1407025174742953</v>
      </c>
      <c r="N29" s="59"/>
    </row>
    <row r="30" spans="1:20" x14ac:dyDescent="0.25">
      <c r="A30" s="36" t="str">
        <f>A$8</f>
        <v>Commodities</v>
      </c>
      <c r="B30" s="51">
        <f t="shared" ref="B30:B35" si="9">+B$7*B8*B18</f>
        <v>2.0754100699366361E-2</v>
      </c>
      <c r="C30" s="52">
        <f t="shared" si="3"/>
        <v>4.3639249087150264E-2</v>
      </c>
      <c r="D30" s="52">
        <f t="shared" si="4"/>
        <v>-1.9505628190286971E-4</v>
      </c>
      <c r="E30" s="52">
        <f t="shared" si="5"/>
        <v>-3.974339875109742E-3</v>
      </c>
      <c r="F30" s="52">
        <f t="shared" si="6"/>
        <v>-2.4655752509994985E-4</v>
      </c>
      <c r="G30" s="52">
        <f t="shared" si="7"/>
        <v>2.2770508182024803E-2</v>
      </c>
      <c r="H30" s="53">
        <f t="shared" si="8"/>
        <v>-3.1504467067631261E-4</v>
      </c>
      <c r="J30" s="77">
        <f t="shared" si="1"/>
        <v>0.19000000000000003</v>
      </c>
      <c r="K30" s="83">
        <v>0.11071598651902238</v>
      </c>
      <c r="L30" s="86">
        <v>0.15332093446208658</v>
      </c>
      <c r="N30" s="59"/>
    </row>
    <row r="31" spans="1:20" x14ac:dyDescent="0.25">
      <c r="A31" s="36" t="str">
        <f>A$9</f>
        <v>Inv Grade credit</v>
      </c>
      <c r="B31" s="51">
        <f t="shared" si="9"/>
        <v>-3.3168760743050373E-4</v>
      </c>
      <c r="C31" s="52">
        <f t="shared" si="3"/>
        <v>-1.9505628190286971E-4</v>
      </c>
      <c r="D31" s="52">
        <f t="shared" si="4"/>
        <v>3.5190836805743171E-3</v>
      </c>
      <c r="E31" s="52">
        <f t="shared" si="5"/>
        <v>2.9578115677197899E-3</v>
      </c>
      <c r="F31" s="52">
        <f t="shared" si="6"/>
        <v>2.2702989708919107E-3</v>
      </c>
      <c r="G31" s="52">
        <f t="shared" si="7"/>
        <v>1.6222614641524013E-3</v>
      </c>
      <c r="H31" s="53">
        <f t="shared" si="8"/>
        <v>3.0743649000071379E-4</v>
      </c>
      <c r="J31" s="77">
        <f t="shared" si="1"/>
        <v>0.20000000000000004</v>
      </c>
      <c r="K31" s="83">
        <v>0.11673556859874763</v>
      </c>
      <c r="L31" s="86">
        <v>0.16611707892000319</v>
      </c>
      <c r="N31" s="59"/>
    </row>
    <row r="32" spans="1:20" x14ac:dyDescent="0.25">
      <c r="A32" s="36" t="str">
        <f>A$10</f>
        <v>7-10yr UST</v>
      </c>
      <c r="B32" s="51">
        <f t="shared" si="9"/>
        <v>-6.4175089023603095E-3</v>
      </c>
      <c r="C32" s="52">
        <f t="shared" si="3"/>
        <v>-3.974339875109742E-3</v>
      </c>
      <c r="D32" s="52">
        <f t="shared" si="4"/>
        <v>2.9578115677197899E-3</v>
      </c>
      <c r="E32" s="52">
        <f t="shared" si="5"/>
        <v>4.7928214211690563E-3</v>
      </c>
      <c r="F32" s="52">
        <f t="shared" si="6"/>
        <v>3.1387643363323761E-3</v>
      </c>
      <c r="G32" s="52">
        <f t="shared" si="7"/>
        <v>-4.7300464627273598E-3</v>
      </c>
      <c r="H32" s="53">
        <f t="shared" si="8"/>
        <v>4.9191805389807582E-4</v>
      </c>
      <c r="J32" s="77">
        <f t="shared" si="1"/>
        <v>0.21000000000000005</v>
      </c>
      <c r="K32" s="83">
        <v>0.12275686553749091</v>
      </c>
      <c r="L32" s="86">
        <v>0.17905285110739036</v>
      </c>
      <c r="N32" s="59"/>
    </row>
    <row r="33" spans="1:14" x14ac:dyDescent="0.25">
      <c r="A33" s="36" t="str">
        <f>A$11</f>
        <v>Inflation-sensitive</v>
      </c>
      <c r="B33" s="51">
        <f t="shared" si="9"/>
        <v>-3.4730175278890698E-3</v>
      </c>
      <c r="C33" s="52">
        <f t="shared" si="3"/>
        <v>-2.4655752509994985E-4</v>
      </c>
      <c r="D33" s="52">
        <f t="shared" si="4"/>
        <v>2.2702989708919107E-3</v>
      </c>
      <c r="E33" s="52">
        <f t="shared" si="5"/>
        <v>3.1387643363323761E-3</v>
      </c>
      <c r="F33" s="52">
        <f t="shared" si="6"/>
        <v>3.3108526713965152E-3</v>
      </c>
      <c r="G33" s="52">
        <f t="shared" si="7"/>
        <v>-1.3576090487652031E-3</v>
      </c>
      <c r="H33" s="53">
        <f t="shared" si="8"/>
        <v>3.1258668037773441E-4</v>
      </c>
      <c r="J33" s="77">
        <f t="shared" si="1"/>
        <v>0.22000000000000006</v>
      </c>
      <c r="K33" s="83">
        <v>0.12877902428097451</v>
      </c>
      <c r="L33" s="86">
        <v>0.19210004600996827</v>
      </c>
      <c r="N33" s="59"/>
    </row>
    <row r="34" spans="1:14" x14ac:dyDescent="0.25">
      <c r="A34" s="36" t="str">
        <f>A$12</f>
        <v>Real Estate</v>
      </c>
      <c r="B34" s="51">
        <f t="shared" si="9"/>
        <v>3.9961738534218277E-2</v>
      </c>
      <c r="C34" s="52">
        <f t="shared" si="3"/>
        <v>2.2770508182024803E-2</v>
      </c>
      <c r="D34" s="52">
        <f t="shared" si="4"/>
        <v>1.6222614641524013E-3</v>
      </c>
      <c r="E34" s="52">
        <f t="shared" si="5"/>
        <v>-4.7300464627273598E-3</v>
      </c>
      <c r="F34" s="52">
        <f t="shared" si="6"/>
        <v>-1.3576090487652031E-3</v>
      </c>
      <c r="G34" s="52">
        <f t="shared" si="7"/>
        <v>6.3997605128964241E-2</v>
      </c>
      <c r="H34" s="53">
        <f t="shared" si="8"/>
        <v>-5.1918736593520808E-4</v>
      </c>
      <c r="J34" s="77">
        <f t="shared" si="1"/>
        <v>0.23000000000000007</v>
      </c>
      <c r="K34" s="83">
        <v>0.13480287600563695</v>
      </c>
      <c r="L34" s="86">
        <v>0.20523741492316214</v>
      </c>
      <c r="N34" s="59"/>
    </row>
    <row r="35" spans="1:14" x14ac:dyDescent="0.25">
      <c r="A35" s="36" t="str">
        <f>A$13</f>
        <v>1-3yr UST</v>
      </c>
      <c r="B35" s="54">
        <f t="shared" si="9"/>
        <v>-5.0641909780154077E-4</v>
      </c>
      <c r="C35" s="55">
        <f t="shared" si="3"/>
        <v>-3.1504467067631261E-4</v>
      </c>
      <c r="D35" s="55">
        <f t="shared" si="4"/>
        <v>3.0743649000071379E-4</v>
      </c>
      <c r="E35" s="55">
        <f t="shared" si="5"/>
        <v>4.9191805389807582E-4</v>
      </c>
      <c r="F35" s="55">
        <f t="shared" si="6"/>
        <v>3.1258668037773441E-4</v>
      </c>
      <c r="G35" s="55">
        <f t="shared" si="7"/>
        <v>-5.1918736593520808E-4</v>
      </c>
      <c r="H35" s="56">
        <f t="shared" si="8"/>
        <v>9.8324814420715182E-5</v>
      </c>
      <c r="J35" s="77">
        <f t="shared" si="1"/>
        <v>0.24000000000000007</v>
      </c>
      <c r="K35" s="83">
        <v>0.14082684346082641</v>
      </c>
      <c r="L35" s="87">
        <v>0.21844868933317016</v>
      </c>
      <c r="N35" s="59"/>
    </row>
    <row r="36" spans="1:14" x14ac:dyDescent="0.25">
      <c r="J36" s="77">
        <f t="shared" si="1"/>
        <v>0.25000000000000006</v>
      </c>
      <c r="K36" s="84">
        <v>0.14685472499951743</v>
      </c>
      <c r="L36" s="87">
        <v>0.23172122826843211</v>
      </c>
      <c r="N36" s="59"/>
    </row>
    <row r="37" spans="1:14" x14ac:dyDescent="0.25">
      <c r="J37" s="77">
        <f t="shared" si="1"/>
        <v>0.26000000000000006</v>
      </c>
      <c r="K37" s="83">
        <v>0.15287700423044304</v>
      </c>
      <c r="L37" s="87">
        <v>0.25967273275360114</v>
      </c>
      <c r="N37" s="59"/>
    </row>
    <row r="38" spans="1:14" x14ac:dyDescent="0.25">
      <c r="B38" s="17" t="s">
        <v>17</v>
      </c>
      <c r="C38" s="4"/>
      <c r="D38" s="4"/>
      <c r="E38" s="4"/>
      <c r="F38" s="4"/>
      <c r="G38" s="4"/>
      <c r="H38" s="5"/>
      <c r="J38" s="77">
        <f t="shared" si="1"/>
        <v>0.27000000000000007</v>
      </c>
      <c r="K38" s="83">
        <v>0.15890268673405417</v>
      </c>
      <c r="L38" s="87"/>
      <c r="N38" s="59"/>
    </row>
    <row r="39" spans="1:14" ht="39.6" x14ac:dyDescent="0.25">
      <c r="A39" s="3"/>
      <c r="B39" s="46" t="str">
        <f>B16</f>
        <v>Intl Equity</v>
      </c>
      <c r="C39" s="46" t="str">
        <f t="shared" ref="C39:H39" si="10">C16</f>
        <v>Commodities</v>
      </c>
      <c r="D39" s="46" t="str">
        <f t="shared" si="10"/>
        <v>Inv Grade credit</v>
      </c>
      <c r="E39" s="46" t="str">
        <f t="shared" si="10"/>
        <v>7-10yr UST</v>
      </c>
      <c r="F39" s="46" t="str">
        <f t="shared" si="10"/>
        <v>Inflation-sensitive</v>
      </c>
      <c r="G39" s="46" t="str">
        <f t="shared" si="10"/>
        <v>Real Estate</v>
      </c>
      <c r="H39" s="46" t="str">
        <f t="shared" si="10"/>
        <v>1-3yr UST</v>
      </c>
      <c r="J39" s="77">
        <f t="shared" si="1"/>
        <v>0.28000000000000008</v>
      </c>
      <c r="K39" s="83">
        <v>0.16493154472819604</v>
      </c>
      <c r="L39" s="87"/>
      <c r="N39" s="59"/>
    </row>
    <row r="40" spans="1:14" x14ac:dyDescent="0.25">
      <c r="A40" s="10" t="s">
        <v>0</v>
      </c>
      <c r="B40" s="18">
        <f>+A41</f>
        <v>7.8597916007231025E-2</v>
      </c>
      <c r="C40" s="18">
        <f>+A42</f>
        <v>0</v>
      </c>
      <c r="D40" s="18">
        <f>+A43</f>
        <v>0.82626213516336311</v>
      </c>
      <c r="E40" s="18">
        <f>+A44</f>
        <v>0</v>
      </c>
      <c r="F40" s="18">
        <f>+A45</f>
        <v>0</v>
      </c>
      <c r="G40" s="18">
        <f>+A46</f>
        <v>9.5139948829405671E-2</v>
      </c>
      <c r="H40" s="19">
        <f>+A47</f>
        <v>0</v>
      </c>
      <c r="J40" s="77">
        <f t="shared" si="1"/>
        <v>0.29000000000000009</v>
      </c>
      <c r="K40" s="83">
        <v>0.17095663328226934</v>
      </c>
      <c r="L40" s="87"/>
      <c r="N40" s="59"/>
    </row>
    <row r="41" spans="1:14" x14ac:dyDescent="0.25">
      <c r="A41" s="32">
        <v>7.8597916007231025E-2</v>
      </c>
      <c r="B41" s="47">
        <f t="shared" ref="B41:H47" si="11">+$A41*B$40*B29</f>
        <v>6.0401871852472724E-4</v>
      </c>
      <c r="C41" s="47">
        <f t="shared" si="11"/>
        <v>0</v>
      </c>
      <c r="D41" s="47">
        <f t="shared" si="11"/>
        <v>-2.1540616441852367E-5</v>
      </c>
      <c r="E41" s="47">
        <f t="shared" si="11"/>
        <v>0</v>
      </c>
      <c r="F41" s="47">
        <f t="shared" si="11"/>
        <v>0</v>
      </c>
      <c r="G41" s="47">
        <f t="shared" si="11"/>
        <v>2.9882595662689951E-4</v>
      </c>
      <c r="H41" s="48">
        <f t="shared" si="11"/>
        <v>0</v>
      </c>
      <c r="J41" s="77">
        <f t="shared" si="1"/>
        <v>0.3000000000000001</v>
      </c>
      <c r="K41" s="83">
        <v>0.17698640356602838</v>
      </c>
      <c r="L41" s="87"/>
      <c r="N41" s="59"/>
    </row>
    <row r="42" spans="1:14" x14ac:dyDescent="0.25">
      <c r="A42" s="32">
        <v>0</v>
      </c>
      <c r="B42" s="47">
        <f t="shared" si="11"/>
        <v>0</v>
      </c>
      <c r="C42" s="47">
        <f t="shared" si="11"/>
        <v>0</v>
      </c>
      <c r="D42" s="47">
        <f t="shared" si="11"/>
        <v>0</v>
      </c>
      <c r="E42" s="47">
        <f t="shared" si="11"/>
        <v>0</v>
      </c>
      <c r="F42" s="47">
        <f t="shared" si="11"/>
        <v>0</v>
      </c>
      <c r="G42" s="47">
        <f t="shared" si="11"/>
        <v>0</v>
      </c>
      <c r="H42" s="48">
        <f t="shared" si="11"/>
        <v>0</v>
      </c>
      <c r="J42" s="77">
        <f t="shared" si="1"/>
        <v>0.31000000000000011</v>
      </c>
      <c r="K42" s="83">
        <v>0.18301192686714657</v>
      </c>
      <c r="L42" s="87"/>
      <c r="N42" s="59"/>
    </row>
    <row r="43" spans="1:14" x14ac:dyDescent="0.25">
      <c r="A43" s="32">
        <v>0.82626213516336311</v>
      </c>
      <c r="B43" s="47">
        <f t="shared" si="11"/>
        <v>-2.1540616441852367E-5</v>
      </c>
      <c r="C43" s="47">
        <f t="shared" si="11"/>
        <v>0</v>
      </c>
      <c r="D43" s="47">
        <f t="shared" si="11"/>
        <v>2.4025105087115274E-3</v>
      </c>
      <c r="E43" s="47">
        <f t="shared" si="11"/>
        <v>0</v>
      </c>
      <c r="F43" s="47">
        <f t="shared" si="11"/>
        <v>0</v>
      </c>
      <c r="G43" s="47">
        <f t="shared" si="11"/>
        <v>1.2752684527178338E-4</v>
      </c>
      <c r="H43" s="48">
        <f t="shared" si="11"/>
        <v>0</v>
      </c>
      <c r="J43" s="77">
        <f t="shared" si="1"/>
        <v>0.32000000000000012</v>
      </c>
      <c r="K43" s="85">
        <v>0.18904216866837917</v>
      </c>
      <c r="L43" s="88"/>
      <c r="N43" s="59"/>
    </row>
    <row r="44" spans="1:14" x14ac:dyDescent="0.25">
      <c r="A44" s="32">
        <v>0</v>
      </c>
      <c r="B44" s="47">
        <f t="shared" si="11"/>
        <v>0</v>
      </c>
      <c r="C44" s="47">
        <f t="shared" si="11"/>
        <v>0</v>
      </c>
      <c r="D44" s="47">
        <f t="shared" si="11"/>
        <v>0</v>
      </c>
      <c r="E44" s="47">
        <f t="shared" si="11"/>
        <v>0</v>
      </c>
      <c r="F44" s="47">
        <f t="shared" si="11"/>
        <v>0</v>
      </c>
      <c r="G44" s="47">
        <f t="shared" si="11"/>
        <v>0</v>
      </c>
      <c r="H44" s="48">
        <f t="shared" si="11"/>
        <v>0</v>
      </c>
    </row>
    <row r="45" spans="1:14" x14ac:dyDescent="0.25">
      <c r="A45" s="32">
        <v>0</v>
      </c>
      <c r="B45" s="47">
        <f t="shared" si="11"/>
        <v>0</v>
      </c>
      <c r="C45" s="47">
        <f t="shared" si="11"/>
        <v>0</v>
      </c>
      <c r="D45" s="47">
        <f t="shared" si="11"/>
        <v>0</v>
      </c>
      <c r="E45" s="47">
        <f t="shared" si="11"/>
        <v>0</v>
      </c>
      <c r="F45" s="47">
        <f t="shared" si="11"/>
        <v>0</v>
      </c>
      <c r="G45" s="47">
        <f t="shared" si="11"/>
        <v>0</v>
      </c>
      <c r="H45" s="48">
        <f t="shared" si="11"/>
        <v>0</v>
      </c>
    </row>
    <row r="46" spans="1:14" x14ac:dyDescent="0.25">
      <c r="A46" s="32">
        <v>9.5139948829405671E-2</v>
      </c>
      <c r="B46" s="47">
        <f t="shared" si="11"/>
        <v>2.9882595662689951E-4</v>
      </c>
      <c r="C46" s="47">
        <f t="shared" si="11"/>
        <v>0</v>
      </c>
      <c r="D46" s="47">
        <f t="shared" si="11"/>
        <v>1.2752684527178338E-4</v>
      </c>
      <c r="E46" s="47">
        <f t="shared" si="11"/>
        <v>0</v>
      </c>
      <c r="F46" s="47">
        <f t="shared" si="11"/>
        <v>0</v>
      </c>
      <c r="G46" s="47">
        <f t="shared" si="11"/>
        <v>5.7928135381047502E-4</v>
      </c>
      <c r="H46" s="48">
        <f t="shared" si="11"/>
        <v>0</v>
      </c>
    </row>
    <row r="47" spans="1:14" x14ac:dyDescent="0.25">
      <c r="A47" s="32">
        <v>0</v>
      </c>
      <c r="B47" s="49">
        <f t="shared" si="11"/>
        <v>0</v>
      </c>
      <c r="C47" s="49">
        <f t="shared" si="11"/>
        <v>0</v>
      </c>
      <c r="D47" s="49">
        <f t="shared" si="11"/>
        <v>0</v>
      </c>
      <c r="E47" s="49">
        <f t="shared" si="11"/>
        <v>0</v>
      </c>
      <c r="F47" s="49">
        <f t="shared" si="11"/>
        <v>0</v>
      </c>
      <c r="G47" s="49">
        <f t="shared" si="11"/>
        <v>0</v>
      </c>
      <c r="H47" s="50">
        <f t="shared" si="11"/>
        <v>0</v>
      </c>
    </row>
    <row r="48" spans="1:14" ht="13.8" thickBot="1" x14ac:dyDescent="0.3">
      <c r="A48" s="31">
        <f>SUM(A41:A47)</f>
        <v>0.99999999999999978</v>
      </c>
      <c r="B48" s="57">
        <f t="shared" ref="B48:H48" si="12">SUM(B41:B47)</f>
        <v>8.8130405870977442E-4</v>
      </c>
      <c r="C48" s="57">
        <f t="shared" si="12"/>
        <v>0</v>
      </c>
      <c r="D48" s="57">
        <f t="shared" si="12"/>
        <v>2.5084967375414583E-3</v>
      </c>
      <c r="E48" s="57">
        <f t="shared" si="12"/>
        <v>0</v>
      </c>
      <c r="F48" s="57">
        <f t="shared" si="12"/>
        <v>0</v>
      </c>
      <c r="G48" s="57">
        <f t="shared" si="12"/>
        <v>1.0056341557091578E-3</v>
      </c>
      <c r="H48" s="57">
        <f t="shared" si="12"/>
        <v>0</v>
      </c>
    </row>
    <row r="49" spans="1:2" ht="13.8" thickTop="1" x14ac:dyDescent="0.25"/>
    <row r="50" spans="1:2" x14ac:dyDescent="0.25">
      <c r="A50" s="3" t="s">
        <v>1</v>
      </c>
      <c r="B50" s="79">
        <f>SUM(B48:H48)</f>
        <v>4.3954349519603909E-3</v>
      </c>
    </row>
    <row r="51" spans="1:2" x14ac:dyDescent="0.25">
      <c r="A51" s="6" t="s">
        <v>2</v>
      </c>
      <c r="B51" s="80">
        <f>+B50^0.5</f>
        <v>6.6298076532885858E-2</v>
      </c>
    </row>
    <row r="52" spans="1:2" x14ac:dyDescent="0.25">
      <c r="A52" s="7" t="s">
        <v>10</v>
      </c>
      <c r="B52" s="81">
        <f>SUMPRODUCT(A41:A47,C7:C13)</f>
        <v>0.11000000005914978</v>
      </c>
    </row>
    <row r="54" spans="1:2" x14ac:dyDescent="0.25">
      <c r="A54" t="s">
        <v>27</v>
      </c>
      <c r="B54" s="82">
        <v>0.11</v>
      </c>
    </row>
  </sheetData>
  <phoneticPr fontId="6" type="noConversion"/>
  <pageMargins left="0.75" right="0.75" top="1" bottom="1" header="0.5" footer="0.5"/>
  <pageSetup orientation="portrait" horizontalDpi="4294967293" verticalDpi="300" r:id="rId1"/>
  <headerFooter alignWithMargins="0">
    <oddHeader>&amp;LEcon 157&amp;CFinancial Markets and Investments 
Problem Set 4: Optimal Risky Portfolios SOLUTIONS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Q1_S</vt:lpstr>
      <vt:lpstr>here</vt:lpstr>
      <vt:lpstr>rtn</vt:lpstr>
      <vt:lpstr>rtn_goal</vt:lpstr>
      <vt:lpstr>stdev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B. Rasiel</dc:creator>
  <cp:lastModifiedBy>Emma</cp:lastModifiedBy>
  <cp:lastPrinted>2002-10-01T16:22:36Z</cp:lastPrinted>
  <dcterms:created xsi:type="dcterms:W3CDTF">2001-05-22T18:15:30Z</dcterms:created>
  <dcterms:modified xsi:type="dcterms:W3CDTF">2016-10-16T15:04:57Z</dcterms:modified>
</cp:coreProperties>
</file>